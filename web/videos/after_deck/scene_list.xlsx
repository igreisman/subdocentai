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ter Deck Scen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<sst xmlns="http://schemas.openxmlformats.org/spreadsheetml/2006/main" count="104" uniqueCount="84">
  <si>
    <t xml:space="preserve">DIESEL SUBS — FCP SCENE LIST</t>
  </si>
  <si>
    <t xml:space="preserve">USS Pampanito Audio Tour — After Deck</t>
  </si>
  <si>
    <t xml:space="preserve">SCENE #</t>
  </si>
  <si>
    <t xml:space="preserve">IN</t>
  </si>
  <si>
    <t xml:space="preserve">OUT</t>
  </si>
  <si>
    <t xml:space="preserve">DUR (sec)</t>
  </si>
  <si>
    <t xml:space="preserve">SPEAKER</t>
  </si>
  <si>
    <t xml:space="preserve">CONTENT SUMMARY</t>
  </si>
  <si>
    <t xml:space="preserve">SHOT TYPE</t>
  </si>
  <si>
    <t xml:space="preserve">B-ROLL / VISUAL</t>
  </si>
  <si>
    <t xml:space="preserve">ARCHIVAL SOURCE</t>
  </si>
  <si>
    <t xml:space="preserve">FCP NOTES</t>
  </si>
  <si>
    <t xml:space="preserve">STATUS</t>
  </si>
  <si>
    <t xml:space="preserve">00:00:00</t>
  </si>
  <si>
    <t xml:space="preserve">00:00:09</t>
  </si>
  <si>
    <t xml:space="preserve">Narrator V.O.</t>
  </si>
  <si>
    <t xml:space="preserve">Tour intro — voices of officers and crew</t>
  </si>
  <si>
    <t xml:space="preserve">Wide establishing / slow push</t>
  </si>
  <si>
    <t xml:space="preserve">Pampanito exterior at dock, SF Bay BG</t>
  </si>
  <si>
    <t xml:space="preserve">Your own Pampanito B-roll</t>
  </si>
  <si>
    <t xml:space="preserve">Slow push in, no cut; set mood</t>
  </si>
  <si>
    <t xml:space="preserve">YOUR FOOTAGE</t>
  </si>
  <si>
    <t xml:space="preserve">00:00:24</t>
  </si>
  <si>
    <t xml:space="preserve">Radio broadcast (archival)</t>
  </si>
  <si>
    <t xml:space="preserve">Pearl Harbor news bulletin interrupt</t>
  </si>
  <si>
    <t xml:space="preserve">Archival static graphic / period newsroom</t>
  </si>
  <si>
    <t xml:space="preserve">Radio receiver close-up or period newspaper front page</t>
  </si>
  <si>
    <t xml:space="preserve">NARA RG 80 — Pearl Harbor Dec 7 footage</t>
  </si>
  <si>
    <t xml:space="preserve">Desaturate + add radio static audio layer; sepia tone</t>
  </si>
  <si>
    <t xml:space="preserve">VERIFY NARA</t>
  </si>
  <si>
    <t xml:space="preserve">00:00:29</t>
  </si>
  <si>
    <t xml:space="preserve">ID card — FDR address to Congress Dec 8 1941</t>
  </si>
  <si>
    <t xml:space="preserve">Lower third only</t>
  </si>
  <si>
    <t xml:space="preserve">Hold on period still or FDR portrait</t>
  </si>
  <si>
    <t xml:space="preserve">—</t>
  </si>
  <si>
    <t xml:space="preserve">Lower third: 'President Franklin D. Roosevelt, December 8, 1941'</t>
  </si>
  <si>
    <t xml:space="preserve">READY</t>
  </si>
  <si>
    <t xml:space="preserve">00:00:54</t>
  </si>
  <si>
    <t xml:space="preserve">FDR (archival audio)</t>
  </si>
  <si>
    <t xml:space="preserve">'A date which will live in infamy' speech</t>
  </si>
  <si>
    <t xml:space="preserve">Archival — FDR at podium / Congress chamber</t>
  </si>
  <si>
    <t xml:space="preserve">FDR at microphone, Congress session</t>
  </si>
  <si>
    <t xml:space="preserve">NARA ARC 56758 — FDR Dec 8 address (public domain)</t>
  </si>
  <si>
    <t xml:space="preserve">Slow push on podium; match audio peaks to cuts</t>
  </si>
  <si>
    <t xml:space="preserve">00:00:59</t>
  </si>
  <si>
    <t xml:space="preserve">ID card — Capt. Edward L. Beach</t>
  </si>
  <si>
    <t xml:space="preserve">Hold on Beach portrait or sub exterior</t>
  </si>
  <si>
    <t xml:space="preserve">Lower third: 'Captain Edward L. Beach, Naval Historian &amp; Submariner'</t>
  </si>
  <si>
    <t xml:space="preserve">00:01:43</t>
  </si>
  <si>
    <t xml:space="preserve">Capt. Edward L. Beach</t>
  </si>
  <si>
    <t xml:space="preserve">Sub-building program; Pampanito history; Silent Service role; 'head below' cue</t>
  </si>
  <si>
    <t xml:space="preserve">Multi-cut documentary sequence</t>
  </si>
  <si>
    <t xml:space="preserve">Portsmouth Navy Yard launch; Pampanito exterior/deck; sub underway footage</t>
  </si>
  <si>
    <t xml:space="preserve">NARA RG 19 (BuShips) — Portsmouth NYd; NHHC NH series sub launches; verify NHHC NH 95558</t>
  </si>
  <si>
    <t xml:space="preserve">8–10 cuts; match to Beach's sentence rhythm; end on hatch/coaming for transition</t>
  </si>
  <si>
    <t xml:space="preserve">VERIFY NHHC</t>
  </si>
  <si>
    <t xml:space="preserve">00:01:50</t>
  </si>
  <si>
    <t xml:space="preserve">Veteran #1</t>
  </si>
  <si>
    <t xml:space="preserve">'Going into the Pacific — didn't know where patrols would take us'</t>
  </si>
  <si>
    <t xml:space="preserve">Contemplative — crew departure / pier</t>
  </si>
  <si>
    <t xml:space="preserve">Sailors boarding sub; farewell on pier; candid crew photos</t>
  </si>
  <si>
    <t xml:space="preserve">NARA RG 80 — submarine base departure footage</t>
  </si>
  <si>
    <t xml:space="preserve">Warm tone; intimate feel; single slow cut or hold</t>
  </si>
  <si>
    <t xml:space="preserve">00:02:10</t>
  </si>
  <si>
    <t xml:space="preserve">Veteran #2</t>
  </si>
  <si>
    <t xml:space="preserve">24% casualty rate — lowest survival of any service branch</t>
  </si>
  <si>
    <t xml:space="preserve">Somber — memorial / silhouette</t>
  </si>
  <si>
    <t xml:space="preserve">Eternal patrol graphic; sub silhouette; lost boat names scroll</t>
  </si>
  <si>
    <t xml:space="preserve">Your eternal-patrol.php data; NHHC submarine loss photos</t>
  </si>
  <si>
    <t xml:space="preserve">Hold 3–4 sec after last word; slow fade to black; no music cut</t>
  </si>
  <si>
    <t xml:space="preserve">YOUR ASSET</t>
  </si>
  <si>
    <t xml:space="preserve">00:02:15</t>
  </si>
  <si>
    <t xml:space="preserve">— (transition)</t>
  </si>
  <si>
    <t xml:space="preserve">'Let's head below' visual bridge</t>
  </si>
  <si>
    <t xml:space="preserve">Match cut — hatch descent</t>
  </si>
  <si>
    <t xml:space="preserve">Sailor feet-first through hatch, POV looking down</t>
  </si>
  <si>
    <t xml:space="preserve">Match cut into interior opening shot; audio crossfade</t>
  </si>
  <si>
    <t xml:space="preserve">TOTAL RUNTIME</t>
  </si>
  <si>
    <t xml:space="preserve">STATUS LEGEND</t>
  </si>
  <si>
    <t xml:space="preserve">YOUR FOOTAGE / ASSET</t>
  </si>
  <si>
    <t xml:space="preserve">Clip in hand, no clearance needed</t>
  </si>
  <si>
    <t xml:space="preserve">Lower third / graphic, no footage required</t>
  </si>
  <si>
    <t xml:space="preserve">Confirm availability + public domain status at NARA</t>
  </si>
  <si>
    <t xml:space="preserve">Confirm photo ID against NHHC catalog metadata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</si>
</sst>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C8A8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2C2C2C"/>
      </patternFill>
    </fill>
    <fill>
      <patternFill patternType="solid">
        <fgColor rgb="FF2C2C2C"/>
        <bgColor rgb="FF1B2A4A"/>
      </patternFill>
    </fill>
    <fill>
      <patternFill patternType="solid">
        <fgColor rgb="FFFFFFFF"/>
        <bgColor rgb="FFF2F2F2"/>
      </patternFill>
    </fill>
    <fill>
      <patternFill patternType="solid">
        <fgColor rgb="FFD7EED7"/>
        <bgColor rgb="FFEAF4EA"/>
      </patternFill>
    </fill>
    <fill>
      <patternFill patternType="solid">
        <fgColor rgb="FFF2F2F2"/>
        <bgColor rgb="FFEAF4EA"/>
      </patternFill>
    </fill>
    <fill>
      <patternFill patternType="solid">
        <fgColor rgb="FFFFF3CD"/>
        <bgColor rgb="FFF2F2F2"/>
      </patternFill>
    </fill>
    <fill>
      <patternFill patternType="solid">
        <fgColor rgb="FFEAF4E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7EE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1B2A4A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36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51.75" hidden="false" customHeight="true" outlineLevel="0" collapsed="false">
      <c r="A5" s="5" t="n">
        <v>1</v>
      </c>
      <c r="B5" s="5" t="s">
        <v>13</v>
      </c>
      <c r="C5" s="5" t="s">
        <v>14</v>
      </c>
      <c r="D5" s="6" t="n">
        <f aca="false">TIMEVALUE(C5)-TIMEVALUE(B5)</f>
        <v>0.000104166666666667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7" t="s">
        <v>21</v>
      </c>
    </row>
    <row r="6" customFormat="false" ht="51.75" hidden="false" customHeight="true" outlineLevel="0" collapsed="false">
      <c r="A6" s="8" t="n">
        <v>2</v>
      </c>
      <c r="B6" s="8" t="s">
        <v>14</v>
      </c>
      <c r="C6" s="8" t="s">
        <v>22</v>
      </c>
      <c r="D6" s="9" t="n">
        <f aca="false">TIMEVALUE(C6)-TIMEVALUE(B6)</f>
        <v>0.000173611111111111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10" t="s">
        <v>29</v>
      </c>
    </row>
    <row r="7" customFormat="false" ht="51.75" hidden="false" customHeight="true" outlineLevel="0" collapsed="false">
      <c r="A7" s="5" t="n">
        <v>3</v>
      </c>
      <c r="B7" s="5" t="s">
        <v>22</v>
      </c>
      <c r="C7" s="5" t="s">
        <v>30</v>
      </c>
      <c r="D7" s="6" t="n">
        <f aca="false">TIMEVALUE(C7)-TIMEVALUE(B7)</f>
        <v>5.78703703703704E-005</v>
      </c>
      <c r="E7" s="5" t="s">
        <v>15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11" t="s">
        <v>36</v>
      </c>
    </row>
    <row r="8" customFormat="false" ht="51.75" hidden="false" customHeight="true" outlineLevel="0" collapsed="false">
      <c r="A8" s="8" t="n">
        <v>4</v>
      </c>
      <c r="B8" s="8" t="s">
        <v>30</v>
      </c>
      <c r="C8" s="8" t="s">
        <v>37</v>
      </c>
      <c r="D8" s="9" t="n">
        <f aca="false">TIMEVALUE(C8)-TIMEVALUE(B8)</f>
        <v>0.000289351851851852</v>
      </c>
      <c r="E8" s="8" t="s">
        <v>38</v>
      </c>
      <c r="F8" s="8" t="s">
        <v>39</v>
      </c>
      <c r="G8" s="8" t="s">
        <v>40</v>
      </c>
      <c r="H8" s="8" t="s">
        <v>41</v>
      </c>
      <c r="I8" s="8" t="s">
        <v>42</v>
      </c>
      <c r="J8" s="8" t="s">
        <v>43</v>
      </c>
      <c r="K8" s="10" t="s">
        <v>29</v>
      </c>
    </row>
    <row r="9" customFormat="false" ht="51.75" hidden="false" customHeight="true" outlineLevel="0" collapsed="false">
      <c r="A9" s="5" t="n">
        <v>5</v>
      </c>
      <c r="B9" s="5" t="s">
        <v>37</v>
      </c>
      <c r="C9" s="5" t="s">
        <v>44</v>
      </c>
      <c r="D9" s="6" t="n">
        <f aca="false">TIMEVALUE(C9)-TIMEVALUE(B9)</f>
        <v>5.78703703703704E-005</v>
      </c>
      <c r="E9" s="5" t="s">
        <v>15</v>
      </c>
      <c r="F9" s="5" t="s">
        <v>45</v>
      </c>
      <c r="G9" s="5" t="s">
        <v>32</v>
      </c>
      <c r="H9" s="5" t="s">
        <v>46</v>
      </c>
      <c r="I9" s="5" t="s">
        <v>34</v>
      </c>
      <c r="J9" s="5" t="s">
        <v>47</v>
      </c>
      <c r="K9" s="11" t="s">
        <v>36</v>
      </c>
    </row>
    <row r="10" customFormat="false" ht="51.75" hidden="false" customHeight="true" outlineLevel="0" collapsed="false">
      <c r="A10" s="8" t="n">
        <v>6</v>
      </c>
      <c r="B10" s="8" t="s">
        <v>44</v>
      </c>
      <c r="C10" s="8" t="s">
        <v>48</v>
      </c>
      <c r="D10" s="9" t="n">
        <f aca="false">TIMEVALUE(C10)-TIMEVALUE(B10)</f>
        <v>0.000509259259259259</v>
      </c>
      <c r="E10" s="8" t="s">
        <v>49</v>
      </c>
      <c r="F10" s="8" t="s">
        <v>50</v>
      </c>
      <c r="G10" s="8" t="s">
        <v>51</v>
      </c>
      <c r="H10" s="8" t="s">
        <v>52</v>
      </c>
      <c r="I10" s="8" t="s">
        <v>53</v>
      </c>
      <c r="J10" s="8" t="s">
        <v>54</v>
      </c>
      <c r="K10" s="10" t="s">
        <v>55</v>
      </c>
    </row>
    <row r="11" customFormat="false" ht="51.75" hidden="false" customHeight="true" outlineLevel="0" collapsed="false">
      <c r="A11" s="5" t="n">
        <v>7</v>
      </c>
      <c r="B11" s="5" t="s">
        <v>48</v>
      </c>
      <c r="C11" s="5" t="s">
        <v>56</v>
      </c>
      <c r="D11" s="6" t="n">
        <f aca="false">TIMEVALUE(C11)-TIMEVALUE(B11)</f>
        <v>8.10185185185185E-005</v>
      </c>
      <c r="E11" s="5" t="s">
        <v>57</v>
      </c>
      <c r="F11" s="5" t="s">
        <v>58</v>
      </c>
      <c r="G11" s="5" t="s">
        <v>59</v>
      </c>
      <c r="H11" s="5" t="s">
        <v>60</v>
      </c>
      <c r="I11" s="5" t="s">
        <v>61</v>
      </c>
      <c r="J11" s="5" t="s">
        <v>62</v>
      </c>
      <c r="K11" s="10" t="s">
        <v>29</v>
      </c>
    </row>
    <row r="12" customFormat="false" ht="51.75" hidden="false" customHeight="true" outlineLevel="0" collapsed="false">
      <c r="A12" s="8" t="n">
        <v>8</v>
      </c>
      <c r="B12" s="8" t="s">
        <v>56</v>
      </c>
      <c r="C12" s="8" t="s">
        <v>63</v>
      </c>
      <c r="D12" s="9" t="n">
        <f aca="false">TIMEVALUE(C12)-TIMEVALUE(B12)</f>
        <v>0.000231481481481482</v>
      </c>
      <c r="E12" s="8" t="s">
        <v>64</v>
      </c>
      <c r="F12" s="8" t="s">
        <v>65</v>
      </c>
      <c r="G12" s="8" t="s">
        <v>66</v>
      </c>
      <c r="H12" s="8" t="s">
        <v>67</v>
      </c>
      <c r="I12" s="8" t="s">
        <v>68</v>
      </c>
      <c r="J12" s="8" t="s">
        <v>69</v>
      </c>
      <c r="K12" s="7" t="s">
        <v>70</v>
      </c>
    </row>
    <row r="13" customFormat="false" ht="51.75" hidden="false" customHeight="true" outlineLevel="0" collapsed="false">
      <c r="A13" s="5" t="n">
        <v>9</v>
      </c>
      <c r="B13" s="5" t="s">
        <v>63</v>
      </c>
      <c r="C13" s="5" t="s">
        <v>71</v>
      </c>
      <c r="D13" s="5" t="n">
        <v>5</v>
      </c>
      <c r="E13" s="5" t="s">
        <v>72</v>
      </c>
      <c r="F13" s="5" t="s">
        <v>73</v>
      </c>
      <c r="G13" s="5" t="s">
        <v>74</v>
      </c>
      <c r="H13" s="5" t="s">
        <v>75</v>
      </c>
      <c r="I13" s="5" t="s">
        <v>19</v>
      </c>
      <c r="J13" s="5" t="s">
        <v>76</v>
      </c>
      <c r="K13" s="7" t="s">
        <v>21</v>
      </c>
    </row>
    <row r="14" customFormat="false" ht="19.5" hidden="false" customHeight="true" outlineLevel="0" collapsed="false">
      <c r="A14" s="12" t="s">
        <v>77</v>
      </c>
      <c r="B14" s="12"/>
      <c r="C14" s="12"/>
      <c r="D14" s="13" t="n">
        <f aca="false">SUM(D5:D13)</f>
        <v>5.00150462962963</v>
      </c>
    </row>
    <row r="16" customFormat="false" ht="15" hidden="false" customHeight="false" outlineLevel="0" collapsed="false">
      <c r="A16" s="14" t="s">
        <v>78</v>
      </c>
      <c r="B16" s="14"/>
    </row>
    <row r="17" customFormat="false" ht="15" hidden="false" customHeight="false" outlineLevel="0" collapsed="false">
      <c r="A17" s="15" t="s">
        <v>79</v>
      </c>
      <c r="B17" s="16" t="s">
        <v>80</v>
      </c>
      <c r="C17" s="16"/>
      <c r="D17" s="16"/>
      <c r="E17" s="16"/>
    </row>
    <row r="18" customFormat="false" ht="15" hidden="false" customHeight="false" outlineLevel="0" collapsed="false">
      <c r="A18" s="17" t="s">
        <v>36</v>
      </c>
      <c r="B18" s="16" t="s">
        <v>81</v>
      </c>
      <c r="C18" s="16"/>
      <c r="D18" s="16"/>
      <c r="E18" s="16"/>
    </row>
    <row r="19" customFormat="false" ht="15" hidden="false" customHeight="false" outlineLevel="0" collapsed="false">
      <c r="A19" s="18" t="s">
        <v>29</v>
      </c>
      <c r="B19" s="16" t="s">
        <v>82</v>
      </c>
      <c r="C19" s="16"/>
      <c r="D19" s="16"/>
      <c r="E19" s="16"/>
    </row>
    <row r="20" customFormat="false" ht="15" hidden="false" customHeight="false" outlineLevel="0" collapsed="false">
      <c r="A20" s="18" t="s">
        <v>55</v>
      </c>
      <c r="B20" s="16" t="s">
        <v>83</v>
      </c>
      <c r="C20" s="16"/>
      <c r="D20" s="16"/>
      <c r="E20" s="16"/>
    </row>
  </sheetData>
  <mergeCells count="9">
    <mergeCell ref="A1:K1"/>
    <mergeCell ref="A2:K2"/>
    <mergeCell ref="A3:K3"/>
    <mergeCell ref="A14:C14"/>
    <mergeCell ref="A16:B16"/>
    <mergeCell ref="B17:E17"/>
    <mergeCell ref="B18:E18"/>
    <mergeCell ref="B19:E1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2026-03-19T02:46:33Z</dcterms:created>
  <dc:creator>openpyxl</dc:creator>
  <dc:description/>
  <dc:language>en-US</dc:language>
  <cp:lastModifiedBy/>
  <dcterms:modified xsi:type="dcterms:W3CDTF">2026-03-19T02:46:33Z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