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 Room Scene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<sst xmlns="http://schemas.openxmlformats.org/spreadsheetml/2006/main" count="113" uniqueCount="86">
  <si>
    <t xml:space="preserve">DIESEL SUBS — FCP SCENE LIST</t>
  </si>
  <si>
    <t xml:space="preserve">USS Pampanito Audio Tour — Control Room</t>
  </si>
  <si>
    <t xml:space="preserve">SCENE #</t>
  </si>
  <si>
    <t xml:space="preserve">IN</t>
  </si>
  <si>
    <t xml:space="preserve">OUT</t>
  </si>
  <si>
    <t xml:space="preserve">DUR (sec)</t>
  </si>
  <si>
    <t xml:space="preserve">SPEAKER</t>
  </si>
  <si>
    <t xml:space="preserve">CONTENT SUMMARY</t>
  </si>
  <si>
    <t xml:space="preserve">SHOT TYPE</t>
  </si>
  <si>
    <t xml:space="preserve">B-ROLL / VISUAL</t>
  </si>
  <si>
    <t xml:space="preserve">ARCHIVAL SOURCE</t>
  </si>
  <si>
    <t xml:space="preserve">FCP NOTES</t>
  </si>
  <si>
    <t xml:space="preserve">STATUS</t>
  </si>
  <si>
    <t xml:space="preserve">00:00:00</t>
  </si>
  <si>
    <t xml:space="preserve">00:00:10</t>
  </si>
  <si>
    <t xml:space="preserve">Red lights for night lookout watches — preserve night vision</t>
  </si>
  <si>
    <t xml:space="preserve">Atmospheric — red light ambience</t>
  </si>
  <si>
    <t xml:space="preserve">Control room bathed in red lighting; gauges and panels under red light; crew silhouette</t>
  </si>
  <si>
    <t xml:space="preserve">Your own Pampanito B-roll</t>
  </si>
  <si>
    <t xml:space="preserve">Open on red-lit room; no narration needed before the line lands; let the red atmosphere establish before cutting</t>
  </si>
  <si>
    <t xml:space="preserve">YOUR FOOTAGE</t>
  </si>
  <si>
    <t xml:space="preserve">00:00:20</t>
  </si>
  <si>
    <t xml:space="preserve">Hull opening indicator panel — the Christmas tree; red and green lights port side</t>
  </si>
  <si>
    <t xml:space="preserve">Wide then push to Christmas tree panel</t>
  </si>
  <si>
    <t xml:space="preserve">Port side panel full view; red and green indicator lights; panel nameplate</t>
  </si>
  <si>
    <t xml:space="preserve">SFX: [metal clanking] and [air hissing] at cues; slow push from room to panel; give the Christmas tree a proper reveal</t>
  </si>
  <si>
    <t xml:space="preserve">00:00:32</t>
  </si>
  <si>
    <t xml:space="preserve">Christmas tree very important — all green lights required before submerging</t>
  </si>
  <si>
    <t xml:space="preserve">Detail — Christmas tree lights close-up</t>
  </si>
  <si>
    <t xml:space="preserve">Individual indicator lights; all-green state close-up; panel in full</t>
  </si>
  <si>
    <t xml:space="preserve">Cut to individual lights as veteran describes; end on all-green state — powerful visual that every submariner lived by</t>
  </si>
  <si>
    <t xml:space="preserve">00:00:47</t>
  </si>
  <si>
    <t xml:space="preserve">'Rig ship for dive / green board'; ballast tank vents open; air escapes; seawater enters flood ports; 'Dive dive'</t>
  </si>
  <si>
    <t xml:space="preserve">Dive sequence — diagram + archival</t>
  </si>
  <si>
    <t xml:space="preserve">Ballast tank diagram showing vent/flood port operation; archival sub diving footage</t>
  </si>
  <si>
    <t xml:space="preserve">Keynote animation — ballast tank diagram; NARA RG 80 diving footage</t>
  </si>
  <si>
    <t xml:space="preserve">SFX: [air hissing] and 'Dive dive' archival audio at cues; animated ballast diagram is essential here — the physics need a visual; cut to diving footage on 'boat submerged'</t>
  </si>
  <si>
    <t xml:space="preserve">CREATE GRAPHIC</t>
  </si>
  <si>
    <t xml:space="preserve">00:00:59</t>
  </si>
  <si>
    <t xml:space="preserve">'Full dive on bow planes'; planesman position at large white wheels; sat here during dives and submerged ops</t>
  </si>
  <si>
    <t xml:space="preserve">Wide then tight — planesman wheels</t>
  </si>
  <si>
    <t xml:space="preserve">Large white plane control wheels full view; planesman seat position; wheel detail</t>
  </si>
  <si>
    <t xml:space="preserve">SFX: 'Full dive on bow planes' archival; push from wheel wide to spokes close-up; put viewer in planesman seat</t>
  </si>
  <si>
    <t xml:space="preserve">00:01:08</t>
  </si>
  <si>
    <t xml:space="preserve">Bow and stern planes control depth when submerged; dials and gauges above wheels</t>
  </si>
  <si>
    <t xml:space="preserve">Detail — gauge cluster above wheels</t>
  </si>
  <si>
    <t xml:space="preserve">Depth gauges, angle indicators above plane wheels; instrument cluster close-up</t>
  </si>
  <si>
    <t xml:space="preserve">Slow pan up from wheels to gauges; match narrator description</t>
  </si>
  <si>
    <t xml:space="preserve">00:01:29</t>
  </si>
  <si>
    <t xml:space="preserve">Angle indicators and depth gauge; normal dive = 12-15 degree angle, nothing slides; abnormal = things slide</t>
  </si>
  <si>
    <t xml:space="preserve">Split tone — normal vs abnormal</t>
  </si>
  <si>
    <t xml:space="preserve">Angle indicator close-up; depth gauge; any loose objects on surface for 'things slid around'</t>
  </si>
  <si>
    <t xml:space="preserve">SFX: [water gurgling]; cut on 'normal' to steady gauge; cut on 'not normal' to extreme angle shot if available; the contrast is the joke and the drama simultaneously</t>
  </si>
  <si>
    <t xml:space="preserve">00:01:37</t>
  </si>
  <si>
    <t xml:space="preserve">450 feet maximum rated depth — 'we went significantly deeper than that'</t>
  </si>
  <si>
    <t xml:space="preserve">Somber hold — depth gauge</t>
  </si>
  <si>
    <t xml:space="preserve">Depth gauge close-up; needle at extreme position</t>
  </si>
  <si>
    <t xml:space="preserve">No cut needed; hold on depth gauge; let Veteran #0's line land in silence — it's the most chilling line in the segment</t>
  </si>
  <si>
    <t xml:space="preserve">00:02:31</t>
  </si>
  <si>
    <t xml:space="preserve">Surfacing procedure — vents shut, compressed air blown into tanks, water expelled, sub rises; ladder to conning tower; pump room through grating; alarms — collision, general, dive alarm</t>
  </si>
  <si>
    <t xml:space="preserve">Multi-beat sequence</t>
  </si>
  <si>
    <t xml:space="preserve">Surfacing diagram; conning tower ladder looking up; pump room grating floor shot; alarm hardware close-ups</t>
  </si>
  <si>
    <t xml:space="preserve">Keynote animation — surfacing diagram mirrors ballast dive diagram; your own Pampanito B-roll for ladder/grating/alarms</t>
  </si>
  <si>
    <t xml:space="preserve">SFX: [metal clanking], [alarm blaring] x3 at cues; longest scene — break into sub-sequences: surfacing diagram / ladder / pump room grating / three alarm close-ups; each alarm gets its own tight shot</t>
  </si>
  <si>
    <t xml:space="preserve">00:02:46</t>
  </si>
  <si>
    <t xml:space="preserve">Diving alarm procedure — officer of deck sounds alarm, clear the bridge, dive dive</t>
  </si>
  <si>
    <t xml:space="preserve">Urgent — bridge clearing sequence</t>
  </si>
  <si>
    <t xml:space="preserve">Bridge topside; hatch open; conning tower exterior; archival bridge-clearing footage</t>
  </si>
  <si>
    <t xml:space="preserve">NARA RG 80 — submarine bridge clearing and emergency dive footage</t>
  </si>
  <si>
    <t xml:space="preserve">SFX: 'Clear the bridge. Dive dive!' archival at 160.06; cut topside on the alarm; this is your most dramatic beat — use archival if available</t>
  </si>
  <si>
    <t xml:space="preserve">VERIFY NARA</t>
  </si>
  <si>
    <t xml:space="preserve">00:03:07</t>
  </si>
  <si>
    <t xml:space="preserve">'Didn't go down soft — went down fast'; 3 lookouts + OOD from bridge to control room in 30 seconds; periscope depth 60 feet in 30 seconds</t>
  </si>
  <si>
    <t xml:space="preserve">Kinetic — ladder descent sequence</t>
  </si>
  <si>
    <t xml:space="preserve">Conning tower ladder looking down; hatch closing; control room from above; archival emergency dive</t>
  </si>
  <si>
    <t xml:space="preserve">NARA RG 80 — emergency dive footage; your own Pampanito ladder B-roll</t>
  </si>
  <si>
    <t xml:space="preserve">SFX: [metal clanking]; fast cuts matching the urgency; 30-second countdown graphic optional in Keynote; end on control room settled at depth</t>
  </si>
  <si>
    <t xml:space="preserve">TOTAL RUNTIME</t>
  </si>
  <si>
    <t xml:space="preserve">STATUS LEGEND</t>
  </si>
  <si>
    <t xml:space="preserve">Clip in hand, no clearance needed</t>
  </si>
  <si>
    <t xml:space="preserve">READY</t>
  </si>
  <si>
    <t xml:space="preserve">Lower third / graphic, no footage required</t>
  </si>
  <si>
    <t xml:space="preserve">Confirm availability + public domain at NARA</t>
  </si>
  <si>
    <t xml:space="preserve">VERIFY NHHC</t>
  </si>
  <si>
    <t xml:space="preserve">Confirm photo/doc ID against NHHC catalog</t>
  </si>
  <si>
    <t xml:space="preserve">Build in Keynote — no archival required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</si>
</sst>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hh]:mm:ss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C8A84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2C2C2C"/>
      </patternFill>
    </fill>
    <fill>
      <patternFill patternType="solid">
        <fgColor rgb="FF2C2C2C"/>
        <bgColor rgb="FF1B2A4A"/>
      </patternFill>
    </fill>
    <fill>
      <patternFill patternType="solid">
        <fgColor rgb="FFFFFFFF"/>
        <bgColor rgb="FFF2F2F2"/>
      </patternFill>
    </fill>
    <fill>
      <patternFill patternType="solid">
        <fgColor rgb="FFD7EED7"/>
        <bgColor rgb="FFEAF4EA"/>
      </patternFill>
    </fill>
    <fill>
      <patternFill patternType="solid">
        <fgColor rgb="FFF2F2F2"/>
        <bgColor rgb="FFEAF4EA"/>
      </patternFill>
    </fill>
    <fill>
      <patternFill patternType="solid">
        <fgColor rgb="FFE8D7F0"/>
        <bgColor rgb="FFCCCCCC"/>
      </patternFill>
    </fill>
    <fill>
      <patternFill patternType="solid">
        <fgColor rgb="FFFFF3CD"/>
        <bgColor rgb="FFF2F2F2"/>
      </patternFill>
    </fill>
    <fill>
      <patternFill patternType="solid">
        <fgColor rgb="FFEAF4E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AF4EA"/>
      <rgbColor rgb="FF660066"/>
      <rgbColor rgb="FFFF8080"/>
      <rgbColor rgb="FF0066CC"/>
      <rgbColor rgb="FFE8D7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7EED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8A84B"/>
      <rgbColor rgb="FF1B2A4A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0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34"/>
    <col collapsed="false" customWidth="true" hidden="false" outlineLevel="0" max="9" min="9" style="0" width="30"/>
    <col collapsed="false" customWidth="true" hidden="false" outlineLevel="0" max="10" min="10" style="0" width="36"/>
    <col collapsed="false" customWidth="true" hidden="false" outlineLevel="0" max="11" min="11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51.75" hidden="false" customHeight="true" outlineLevel="0" collapsed="false">
      <c r="A5" s="5" t="n">
        <v>1</v>
      </c>
      <c r="B5" s="5" t="s">
        <v>13</v>
      </c>
      <c r="C5" s="5" t="s">
        <v>14</v>
      </c>
      <c r="D5" s="6" t="n">
        <f aca="false">TIMEVALUE(C5)-TIMEVALUE(B5)</f>
        <v>0.000115740740740741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s="7"/>
    </row>
    <row r="6" customFormat="false" ht="51.75" hidden="false" customHeight="true" outlineLevel="0" collapsed="false">
      <c r="A6" s="8" t="n">
        <v>2</v>
      </c>
      <c r="B6" s="8" t="s">
        <v>14</v>
      </c>
      <c r="C6" s="8" t="s">
        <v>21</v>
      </c>
      <c r="D6" s="9" t="n">
        <f aca="false">TIMEVALUE(C6)-TIMEVALUE(B6)</f>
        <v>0.000115740740740741</v>
      </c>
      <c r="E6" s="8" t="s">
        <v>22</v>
      </c>
      <c r="F6" s="8" t="s">
        <v>23</v>
      </c>
      <c r="G6" s="8" t="s">
        <v>24</v>
      </c>
      <c r="H6" s="8" t="s">
        <v>18</v>
      </c>
      <c r="I6" s="8" t="s">
        <v>25</v>
      </c>
      <c r="J6" s="8" t="s">
        <v>20</v>
      </c>
      <c r="K6" s="7"/>
    </row>
    <row r="7" customFormat="false" ht="51.75" hidden="false" customHeight="true" outlineLevel="0" collapsed="false">
      <c r="A7" s="5" t="n">
        <v>3</v>
      </c>
      <c r="B7" s="5" t="s">
        <v>21</v>
      </c>
      <c r="C7" s="5" t="s">
        <v>26</v>
      </c>
      <c r="D7" s="6" t="n">
        <f aca="false">TIMEVALUE(C7)-TIMEVALUE(B7)</f>
        <v>0.000138888888888889</v>
      </c>
      <c r="E7" s="5" t="s">
        <v>27</v>
      </c>
      <c r="F7" s="5" t="s">
        <v>28</v>
      </c>
      <c r="G7" s="5" t="s">
        <v>29</v>
      </c>
      <c r="H7" s="5" t="s">
        <v>18</v>
      </c>
      <c r="I7" s="5" t="s">
        <v>30</v>
      </c>
      <c r="J7" s="5" t="s">
        <v>20</v>
      </c>
      <c r="K7" s="7"/>
    </row>
    <row r="8" customFormat="false" ht="51.75" hidden="false" customHeight="true" outlineLevel="0" collapsed="false">
      <c r="A8" s="8" t="n">
        <v>4</v>
      </c>
      <c r="B8" s="8" t="s">
        <v>26</v>
      </c>
      <c r="C8" s="8" t="s">
        <v>31</v>
      </c>
      <c r="D8" s="9" t="n">
        <f aca="false">TIMEVALUE(C8)-TIMEVALUE(B8)</f>
        <v>0.000173611111111111</v>
      </c>
      <c r="E8" s="8" t="s">
        <v>32</v>
      </c>
      <c r="F8" s="8" t="s">
        <v>33</v>
      </c>
      <c r="G8" s="8" t="s">
        <v>34</v>
      </c>
      <c r="H8" s="8" t="s">
        <v>35</v>
      </c>
      <c r="I8" s="8" t="s">
        <v>36</v>
      </c>
      <c r="J8" s="8" t="s">
        <v>37</v>
      </c>
      <c r="K8" s="10"/>
    </row>
    <row r="9" customFormat="false" ht="51.75" hidden="false" customHeight="true" outlineLevel="0" collapsed="false">
      <c r="A9" s="5" t="n">
        <v>5</v>
      </c>
      <c r="B9" s="5" t="s">
        <v>31</v>
      </c>
      <c r="C9" s="5" t="s">
        <v>38</v>
      </c>
      <c r="D9" s="6" t="n">
        <f aca="false">TIMEVALUE(C9)-TIMEVALUE(B9)</f>
        <v>0.000138888888888889</v>
      </c>
      <c r="E9" s="5" t="s">
        <v>39</v>
      </c>
      <c r="F9" s="5" t="s">
        <v>40</v>
      </c>
      <c r="G9" s="5" t="s">
        <v>41</v>
      </c>
      <c r="H9" s="5" t="s">
        <v>18</v>
      </c>
      <c r="I9" s="5" t="s">
        <v>42</v>
      </c>
      <c r="J9" s="5" t="s">
        <v>20</v>
      </c>
      <c r="K9" s="7"/>
    </row>
    <row r="10" customFormat="false" ht="51.75" hidden="false" customHeight="true" outlineLevel="0" collapsed="false">
      <c r="A10" s="8" t="n">
        <v>6</v>
      </c>
      <c r="B10" s="8" t="s">
        <v>38</v>
      </c>
      <c r="C10" s="8" t="s">
        <v>43</v>
      </c>
      <c r="D10" s="9" t="n">
        <f aca="false">TIMEVALUE(C10)-TIMEVALUE(B10)</f>
        <v>0.000104166666666667</v>
      </c>
      <c r="E10" s="8" t="s">
        <v>44</v>
      </c>
      <c r="F10" s="8" t="s">
        <v>45</v>
      </c>
      <c r="G10" s="8" t="s">
        <v>46</v>
      </c>
      <c r="H10" s="8" t="s">
        <v>18</v>
      </c>
      <c r="I10" s="8" t="s">
        <v>47</v>
      </c>
      <c r="J10" s="8" t="s">
        <v>20</v>
      </c>
      <c r="K10" s="7"/>
    </row>
    <row r="11" customFormat="false" ht="51.75" hidden="false" customHeight="true" outlineLevel="0" collapsed="false">
      <c r="A11" s="5" t="n">
        <v>7</v>
      </c>
      <c r="B11" s="5" t="s">
        <v>43</v>
      </c>
      <c r="C11" s="5" t="s">
        <v>48</v>
      </c>
      <c r="D11" s="6" t="n">
        <f aca="false">TIMEVALUE(C11)-TIMEVALUE(B11)</f>
        <v>0.000243055555555556</v>
      </c>
      <c r="E11" s="5" t="s">
        <v>49</v>
      </c>
      <c r="F11" s="5" t="s">
        <v>50</v>
      </c>
      <c r="G11" s="5" t="s">
        <v>51</v>
      </c>
      <c r="H11" s="5" t="s">
        <v>18</v>
      </c>
      <c r="I11" s="5" t="s">
        <v>52</v>
      </c>
      <c r="J11" s="5" t="s">
        <v>20</v>
      </c>
      <c r="K11" s="7"/>
    </row>
    <row r="12" customFormat="false" ht="51.75" hidden="false" customHeight="true" outlineLevel="0" collapsed="false">
      <c r="A12" s="8" t="n">
        <v>8</v>
      </c>
      <c r="B12" s="8" t="s">
        <v>48</v>
      </c>
      <c r="C12" s="8" t="s">
        <v>53</v>
      </c>
      <c r="D12" s="9" t="n">
        <f aca="false">TIMEVALUE(C12)-TIMEVALUE(B12)</f>
        <v>9.25925925925926E-005</v>
      </c>
      <c r="E12" s="8" t="s">
        <v>54</v>
      </c>
      <c r="F12" s="8" t="s">
        <v>55</v>
      </c>
      <c r="G12" s="8" t="s">
        <v>56</v>
      </c>
      <c r="H12" s="8" t="s">
        <v>18</v>
      </c>
      <c r="I12" s="8" t="s">
        <v>57</v>
      </c>
      <c r="J12" s="8" t="s">
        <v>20</v>
      </c>
      <c r="K12" s="7"/>
    </row>
    <row r="13" customFormat="false" ht="51.75" hidden="false" customHeight="true" outlineLevel="0" collapsed="false">
      <c r="A13" s="5" t="n">
        <v>9</v>
      </c>
      <c r="B13" s="5" t="s">
        <v>53</v>
      </c>
      <c r="C13" s="5" t="s">
        <v>58</v>
      </c>
      <c r="D13" s="6" t="n">
        <f aca="false">TIMEVALUE(C13)-TIMEVALUE(B13)</f>
        <v>0.000625</v>
      </c>
      <c r="E13" s="5" t="s">
        <v>59</v>
      </c>
      <c r="F13" s="5" t="s">
        <v>60</v>
      </c>
      <c r="G13" s="5" t="s">
        <v>61</v>
      </c>
      <c r="H13" s="5" t="s">
        <v>62</v>
      </c>
      <c r="I13" s="5" t="s">
        <v>63</v>
      </c>
      <c r="J13" s="5" t="s">
        <v>37</v>
      </c>
      <c r="K13" s="10"/>
    </row>
    <row r="14" customFormat="false" ht="51.75" hidden="false" customHeight="true" outlineLevel="0" collapsed="false">
      <c r="A14" s="8" t="n">
        <v>10</v>
      </c>
      <c r="B14" s="8" t="s">
        <v>58</v>
      </c>
      <c r="C14" s="8" t="s">
        <v>64</v>
      </c>
      <c r="D14" s="9" t="n">
        <f aca="false">TIMEVALUE(C14)-TIMEVALUE(B14)</f>
        <v>0.000173611111111111</v>
      </c>
      <c r="E14" s="8" t="s">
        <v>65</v>
      </c>
      <c r="F14" s="8" t="s">
        <v>66</v>
      </c>
      <c r="G14" s="8" t="s">
        <v>67</v>
      </c>
      <c r="H14" s="8" t="s">
        <v>68</v>
      </c>
      <c r="I14" s="8" t="s">
        <v>69</v>
      </c>
      <c r="J14" s="8" t="s">
        <v>70</v>
      </c>
      <c r="K14" s="11"/>
    </row>
    <row r="15" customFormat="false" ht="51.75" hidden="false" customHeight="true" outlineLevel="0" collapsed="false">
      <c r="A15" s="5" t="n">
        <v>11</v>
      </c>
      <c r="B15" s="5" t="s">
        <v>64</v>
      </c>
      <c r="C15" s="5" t="s">
        <v>71</v>
      </c>
      <c r="D15" s="6" t="n">
        <f aca="false">TIMEVALUE(C15)-TIMEVALUE(B15)</f>
        <v>0.000243055555555556</v>
      </c>
      <c r="E15" s="5" t="s">
        <v>72</v>
      </c>
      <c r="F15" s="5" t="s">
        <v>73</v>
      </c>
      <c r="G15" s="5" t="s">
        <v>74</v>
      </c>
      <c r="H15" s="5" t="s">
        <v>75</v>
      </c>
      <c r="I15" s="5" t="s">
        <v>76</v>
      </c>
      <c r="J15" s="5" t="s">
        <v>20</v>
      </c>
      <c r="K15" s="7"/>
    </row>
    <row r="16" customFormat="false" ht="19.5" hidden="false" customHeight="true" outlineLevel="0" collapsed="false">
      <c r="A16" s="12" t="s">
        <v>77</v>
      </c>
      <c r="B16" s="12"/>
      <c r="C16" s="12"/>
      <c r="D16" s="13" t="n">
        <f aca="false">SUM(D5:D15)</f>
        <v>0.00216435185185185</v>
      </c>
    </row>
    <row r="18" customFormat="false" ht="15" hidden="false" customHeight="false" outlineLevel="0" collapsed="false">
      <c r="A18" s="14" t="s">
        <v>78</v>
      </c>
      <c r="B18" s="14"/>
    </row>
    <row r="19" customFormat="false" ht="15" hidden="false" customHeight="false" outlineLevel="0" collapsed="false">
      <c r="A19" s="15" t="s">
        <v>20</v>
      </c>
      <c r="B19" s="16" t="s">
        <v>79</v>
      </c>
      <c r="C19" s="16"/>
      <c r="D19" s="16"/>
      <c r="E19" s="16"/>
    </row>
    <row r="20" customFormat="false" ht="15" hidden="false" customHeight="false" outlineLevel="0" collapsed="false">
      <c r="A20" s="17" t="s">
        <v>80</v>
      </c>
      <c r="B20" s="16" t="s">
        <v>81</v>
      </c>
      <c r="C20" s="16"/>
      <c r="D20" s="16"/>
      <c r="E20" s="16"/>
    </row>
    <row r="21" customFormat="false" ht="15" hidden="false" customHeight="false" outlineLevel="0" collapsed="false">
      <c r="A21" s="18" t="s">
        <v>70</v>
      </c>
      <c r="B21" s="16" t="s">
        <v>82</v>
      </c>
      <c r="C21" s="16"/>
      <c r="D21" s="16"/>
      <c r="E21" s="16"/>
    </row>
    <row r="22" customFormat="false" ht="15" hidden="false" customHeight="false" outlineLevel="0" collapsed="false">
      <c r="A22" s="18" t="s">
        <v>83</v>
      </c>
      <c r="B22" s="16" t="s">
        <v>84</v>
      </c>
      <c r="C22" s="16"/>
      <c r="D22" s="16"/>
      <c r="E22" s="16"/>
    </row>
    <row r="23" customFormat="false" ht="15" hidden="false" customHeight="false" outlineLevel="0" collapsed="false">
      <c r="A23" s="19" t="s">
        <v>37</v>
      </c>
      <c r="B23" s="16" t="s">
        <v>85</v>
      </c>
      <c r="C23" s="16"/>
      <c r="D23" s="16"/>
      <c r="E23" s="16"/>
    </row>
  </sheetData>
  <mergeCells count="10">
    <mergeCell ref="A1:K1"/>
    <mergeCell ref="A2:K2"/>
    <mergeCell ref="A3:K3"/>
    <mergeCell ref="A16:C16"/>
    <mergeCell ref="A18:B18"/>
    <mergeCell ref="B19:E19"/>
    <mergeCell ref="B20:E20"/>
    <mergeCell ref="B21:E21"/>
    <mergeCell ref="B22:E22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2026-03-23T20:55:00Z</dcterms:created>
  <dc:creator>openpyxl</dc:creator>
  <dc:description/>
  <dc:language>en-US</dc:language>
  <cp:lastModifiedBy/>
  <dcterms:modified xsi:type="dcterms:W3CDTF">2026-03-23T20:55:01Z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