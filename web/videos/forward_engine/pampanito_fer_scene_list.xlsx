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ward Engine Room Scene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<sst xmlns="http://schemas.openxmlformats.org/spreadsheetml/2006/main" count="129" uniqueCount="95">
  <si>
    <t xml:space="preserve">DIESEL SUBS — FCP SCENE LIST</t>
  </si>
  <si>
    <t xml:space="preserve">USS Pampanito Audio Tour — Forward Engine Room</t>
  </si>
  <si>
    <t xml:space="preserve">SCENE #</t>
  </si>
  <si>
    <t xml:space="preserve">IN</t>
  </si>
  <si>
    <t xml:space="preserve">OUT</t>
  </si>
  <si>
    <t xml:space="preserve">DUR (sec)</t>
  </si>
  <si>
    <t xml:space="preserve">SPEAKER</t>
  </si>
  <si>
    <t xml:space="preserve">CONTENT SUMMARY</t>
  </si>
  <si>
    <t xml:space="preserve">SHOT TYPE</t>
  </si>
  <si>
    <t xml:space="preserve">B-ROLL / VISUAL</t>
  </si>
  <si>
    <t xml:space="preserve">ARCHIVAL SOURCE</t>
  </si>
  <si>
    <t xml:space="preserve">FCP NOTES</t>
  </si>
  <si>
    <t xml:space="preserve">STATUS</t>
  </si>
  <si>
    <t xml:space="preserve">00:00:01</t>
  </si>
  <si>
    <t xml:space="preserve">00:00:07</t>
  </si>
  <si>
    <t xml:space="preserve">Orient visitor — forward engine room, two more diesel engines; ID Chester Biankowski</t>
  </si>
  <si>
    <t xml:space="preserve">Wide establishing — forward engine room</t>
  </si>
  <si>
    <t xml:space="preserve">Full room width showing port and starboard engines; transition from aft engine room</t>
  </si>
  <si>
    <t xml:space="preserve">Your own Pampanito B-roll</t>
  </si>
  <si>
    <t xml:space="preserve">Lower third: 'Motor Machinist Chester Biankowski, USS Pampanito'; match cut from aft engine room walkway</t>
  </si>
  <si>
    <t xml:space="preserve">YOUR FOOTAGE</t>
  </si>
  <si>
    <t xml:space="preserve">00:00:19</t>
  </si>
  <si>
    <t xml:space="preserve">Oiler's role — paperwork, readings, machinery checks, oil, purifiers, making water</t>
  </si>
  <si>
    <t xml:space="preserve">Process — oiler at work</t>
  </si>
  <si>
    <t xml:space="preserve">Engine gauges close-up; oil dipstick; purifier equipment; log book</t>
  </si>
  <si>
    <t xml:space="preserve">Your own Pampanito B-roll; NARA RG 80 engine room crew operations</t>
  </si>
  <si>
    <t xml:space="preserve">Cut across the tasks Biankowski lists; quick editorial sequence; gauge → oil check → purifier</t>
  </si>
  <si>
    <t xml:space="preserve">00:00:32</t>
  </si>
  <si>
    <t xml:space="preserve">Wayfinding to evaporators — two stainless steel barrel-shaped objects at far end; distilling seawater for fresh water</t>
  </si>
  <si>
    <t xml:space="preserve">Wide then push to evaporators</t>
  </si>
  <si>
    <t xml:space="preserve">Far end of room showing evaporators; stainless steel barrels close-up</t>
  </si>
  <si>
    <t xml:space="preserve">Slow pan from engines to evaporators at far end; let visitor orient</t>
  </si>
  <si>
    <t xml:space="preserve">00:00:35</t>
  </si>
  <si>
    <t xml:space="preserve">Water made on surface only</t>
  </si>
  <si>
    <t xml:space="preserve">Detail — evaporator close-up</t>
  </si>
  <si>
    <t xml:space="preserve">Evaporator barrel detail, valves, gauges</t>
  </si>
  <si>
    <t xml:space="preserve">Short beat; hold on evaporator hardware while Biankowski speaks</t>
  </si>
  <si>
    <t xml:space="preserve">00:00:48</t>
  </si>
  <si>
    <t xml:space="preserve">Water priority: batteries first, then cooking/coffee, showers last</t>
  </si>
  <si>
    <t xml:space="preserve">Priority diagram or layered visual</t>
  </si>
  <si>
    <t xml:space="preserve">Battery bank; galley coffee pot; shower head — in that order</t>
  </si>
  <si>
    <t xml:space="preserve">Strong Keynote graphic opportunity: simple priority stack — batteries / cooking / showers. Dry humor lands if you let it</t>
  </si>
  <si>
    <t xml:space="preserve">CREATE GRAPHIC</t>
  </si>
  <si>
    <t xml:space="preserve">00:00:56</t>
  </si>
  <si>
    <t xml:space="preserve">Couldn't bathe often — 10 days to 2 weeks between showers</t>
  </si>
  <si>
    <t xml:space="preserve">Intimate — cramped living quarters</t>
  </si>
  <si>
    <t xml:space="preserve">Bunk area, crew in working clothes, tropical patrol conditions</t>
  </si>
  <si>
    <t xml:space="preserve">NARA RG 80 — Pacific patrol crew life</t>
  </si>
  <si>
    <t xml:space="preserve">Tone shift to dry humor; let the 'ten days to two weeks' land without a cut</t>
  </si>
  <si>
    <t xml:space="preserve">VERIFY NARA</t>
  </si>
  <si>
    <t xml:space="preserve">00:01:00</t>
  </si>
  <si>
    <t xml:space="preserve">'We took no baths' / 'minimum of water'</t>
  </si>
  <si>
    <t xml:space="preserve">Hold — no cut needed</t>
  </si>
  <si>
    <t xml:space="preserve">Continue crew quarters or hold on evaporator</t>
  </si>
  <si>
    <t xml:space="preserve">Quick back-to-back testimony; don't cut between them, let the rhythm build</t>
  </si>
  <si>
    <t xml:space="preserve">00:01:04</t>
  </si>
  <si>
    <t xml:space="preserve">'A pail of cold water' — that was a bath</t>
  </si>
  <si>
    <t xml:space="preserve">Detail — bucket or basin</t>
  </si>
  <si>
    <t xml:space="preserve">Metal bucket or wash basin; any small water vessel in cramped space</t>
  </si>
  <si>
    <t xml:space="preserve">Tight shot on bucket for the punchline; simple and effective</t>
  </si>
  <si>
    <t xml:space="preserve">00:01:10</t>
  </si>
  <si>
    <t xml:space="preserve">Motor machinists bathed more frequently than others</t>
  </si>
  <si>
    <t xml:space="preserve">Knowing setup — comic beat</t>
  </si>
  <si>
    <t xml:space="preserve">Continue crew quarters; or cut to engine room (the machinists' domain)</t>
  </si>
  <si>
    <t xml:space="preserve">This is the setup for the Biankowski payoff — hold, don't cut away</t>
  </si>
  <si>
    <t xml:space="preserve">00:01:13</t>
  </si>
  <si>
    <t xml:space="preserve">'Not according to motor machinist Chester Biankowski' — comic ID</t>
  </si>
  <si>
    <t xml:space="preserve">Lower third / reaction beat</t>
  </si>
  <si>
    <t xml:space="preserve">Hold on engine room or Biankowski portrait</t>
  </si>
  <si>
    <t xml:space="preserve">—</t>
  </si>
  <si>
    <t xml:space="preserve">Lower third callback: 'Motor Machinist Chester Biankowski'; the narrator's dry delivery is the joke — don't undercut it with a busy cut</t>
  </si>
  <si>
    <t xml:space="preserve">READY</t>
  </si>
  <si>
    <t xml:space="preserve">00:01:21</t>
  </si>
  <si>
    <t xml:space="preserve">Machinists didn't shower all the time — it was the cooks and bakers</t>
  </si>
  <si>
    <t xml:space="preserve">Comic deflection — galley direction</t>
  </si>
  <si>
    <t xml:space="preserve">Galley / cook area; any food prep space</t>
  </si>
  <si>
    <t xml:space="preserve">Cut to galley on 'cooks and bakers' — visual punchline; this is the funniest beat in the segment</t>
  </si>
  <si>
    <t xml:space="preserve">00:01:25</t>
  </si>
  <si>
    <t xml:space="preserve">Showered in water from the air conditioner</t>
  </si>
  <si>
    <t xml:space="preserve">Detail — AC condensate</t>
  </si>
  <si>
    <t xml:space="preserve">Air conditioning unit; condensate drip; any AC hardware</t>
  </si>
  <si>
    <t xml:space="preserve">Unexpected detail — hold on the AC unit; let the absurdity register</t>
  </si>
  <si>
    <t xml:space="preserve">00:01:28</t>
  </si>
  <si>
    <t xml:space="preserve">'We all smell. We'll smell each other.' — closing button</t>
  </si>
  <si>
    <t xml:space="preserve">Wide — full crew/engine room</t>
  </si>
  <si>
    <t xml:space="preserve">Wide engine room or crew at work; or slow fade to black</t>
  </si>
  <si>
    <t xml:space="preserve">Perfect closer — hold after last word, slow fade; no music sting, just silence</t>
  </si>
  <si>
    <t xml:space="preserve">TOTAL RUNTIME</t>
  </si>
  <si>
    <t xml:space="preserve">STATUS LEGEND</t>
  </si>
  <si>
    <t xml:space="preserve">Clip in hand, no clearance needed</t>
  </si>
  <si>
    <t xml:space="preserve">Lower third / graphic, no footage required</t>
  </si>
  <si>
    <t xml:space="preserve">Confirm availability + public domain at NARA</t>
  </si>
  <si>
    <t xml:space="preserve">VERIFY NHHC</t>
  </si>
  <si>
    <t xml:space="preserve">Confirm photo/doc ID against NHHC catalog</t>
  </si>
  <si>
    <t xml:space="preserve">Build in Keynote — no archival required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</si>
</sst>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h]:mm:ss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C8A84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2C2C2C"/>
      </patternFill>
    </fill>
    <fill>
      <patternFill patternType="solid">
        <fgColor rgb="FF2C2C2C"/>
        <bgColor rgb="FF1B2A4A"/>
      </patternFill>
    </fill>
    <fill>
      <patternFill patternType="solid">
        <fgColor rgb="FFFFFFFF"/>
        <bgColor rgb="FFF2F2F2"/>
      </patternFill>
    </fill>
    <fill>
      <patternFill patternType="solid">
        <fgColor rgb="FFD7EED7"/>
        <bgColor rgb="FFEAF4EA"/>
      </patternFill>
    </fill>
    <fill>
      <patternFill patternType="solid">
        <fgColor rgb="FFF2F2F2"/>
        <bgColor rgb="FFEAF4EA"/>
      </patternFill>
    </fill>
    <fill>
      <patternFill patternType="solid">
        <fgColor rgb="FFE8D7F0"/>
        <bgColor rgb="FFCCCCCC"/>
      </patternFill>
    </fill>
    <fill>
      <patternFill patternType="solid">
        <fgColor rgb="FFFFF3CD"/>
        <bgColor rgb="FFF2F2F2"/>
      </patternFill>
    </fill>
    <fill>
      <patternFill patternType="solid">
        <fgColor rgb="FFEAF4E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AF4EA"/>
      <rgbColor rgb="FF660066"/>
      <rgbColor rgb="FFFF8080"/>
      <rgbColor rgb="FF0066CC"/>
      <rgbColor rgb="FFE8D7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7EED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84B"/>
      <rgbColor rgb="FF1B2A4A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36"/>
    <col collapsed="false" customWidth="true" hidden="false" outlineLevel="0" max="11" min="11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51.75" hidden="false" customHeight="true" outlineLevel="0" collapsed="false">
      <c r="A5" s="5" t="n">
        <v>1</v>
      </c>
      <c r="B5" s="5" t="s">
        <v>13</v>
      </c>
      <c r="C5" s="5" t="s">
        <v>14</v>
      </c>
      <c r="D5" s="6" t="n">
        <f aca="false">TIMEVALUE(C5)-TIMEVALUE(B5)</f>
        <v>6.94444444444444E-005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7"/>
    </row>
    <row r="6" customFormat="false" ht="51.75" hidden="false" customHeight="true" outlineLevel="0" collapsed="false">
      <c r="A6" s="8" t="n">
        <v>2</v>
      </c>
      <c r="B6" s="8" t="s">
        <v>14</v>
      </c>
      <c r="C6" s="8" t="s">
        <v>21</v>
      </c>
      <c r="D6" s="9" t="n">
        <f aca="false">TIMEVALUE(C6)-TIMEVALUE(B6)</f>
        <v>0.000138888888888889</v>
      </c>
      <c r="E6" s="8" t="s">
        <v>22</v>
      </c>
      <c r="F6" s="8" t="s">
        <v>23</v>
      </c>
      <c r="G6" s="8" t="s">
        <v>24</v>
      </c>
      <c r="H6" s="8" t="s">
        <v>25</v>
      </c>
      <c r="I6" s="8" t="s">
        <v>26</v>
      </c>
      <c r="J6" s="8" t="s">
        <v>20</v>
      </c>
      <c r="K6" s="7"/>
    </row>
    <row r="7" customFormat="false" ht="51.75" hidden="false" customHeight="true" outlineLevel="0" collapsed="false">
      <c r="A7" s="5" t="n">
        <v>3</v>
      </c>
      <c r="B7" s="5" t="s">
        <v>21</v>
      </c>
      <c r="C7" s="5" t="s">
        <v>27</v>
      </c>
      <c r="D7" s="6" t="n">
        <f aca="false">TIMEVALUE(C7)-TIMEVALUE(B7)</f>
        <v>0.000150462962962963</v>
      </c>
      <c r="E7" s="5" t="s">
        <v>28</v>
      </c>
      <c r="F7" s="5" t="s">
        <v>29</v>
      </c>
      <c r="G7" s="5" t="s">
        <v>30</v>
      </c>
      <c r="H7" s="5" t="s">
        <v>18</v>
      </c>
      <c r="I7" s="5" t="s">
        <v>31</v>
      </c>
      <c r="J7" s="5" t="s">
        <v>20</v>
      </c>
      <c r="K7" s="7"/>
    </row>
    <row r="8" customFormat="false" ht="51.75" hidden="false" customHeight="true" outlineLevel="0" collapsed="false">
      <c r="A8" s="8" t="n">
        <v>4</v>
      </c>
      <c r="B8" s="8" t="s">
        <v>27</v>
      </c>
      <c r="C8" s="8" t="s">
        <v>32</v>
      </c>
      <c r="D8" s="9" t="n">
        <f aca="false">TIMEVALUE(C8)-TIMEVALUE(B8)</f>
        <v>3.47222222222222E-005</v>
      </c>
      <c r="E8" s="8" t="s">
        <v>33</v>
      </c>
      <c r="F8" s="8" t="s">
        <v>34</v>
      </c>
      <c r="G8" s="8" t="s">
        <v>35</v>
      </c>
      <c r="H8" s="8" t="s">
        <v>18</v>
      </c>
      <c r="I8" s="8" t="s">
        <v>36</v>
      </c>
      <c r="J8" s="8" t="s">
        <v>20</v>
      </c>
      <c r="K8" s="7"/>
    </row>
    <row r="9" customFormat="false" ht="51.75" hidden="false" customHeight="true" outlineLevel="0" collapsed="false">
      <c r="A9" s="5" t="n">
        <v>5</v>
      </c>
      <c r="B9" s="5" t="s">
        <v>32</v>
      </c>
      <c r="C9" s="5" t="s">
        <v>37</v>
      </c>
      <c r="D9" s="6" t="n">
        <f aca="false">TIMEVALUE(C9)-TIMEVALUE(B9)</f>
        <v>0.000150462962962963</v>
      </c>
      <c r="E9" s="5" t="s">
        <v>38</v>
      </c>
      <c r="F9" s="5" t="s">
        <v>39</v>
      </c>
      <c r="G9" s="5" t="s">
        <v>40</v>
      </c>
      <c r="H9" s="5" t="s">
        <v>18</v>
      </c>
      <c r="I9" s="5" t="s">
        <v>41</v>
      </c>
      <c r="J9" s="5" t="s">
        <v>42</v>
      </c>
      <c r="K9" s="10"/>
    </row>
    <row r="10" customFormat="false" ht="51.75" hidden="false" customHeight="true" outlineLevel="0" collapsed="false">
      <c r="A10" s="8" t="n">
        <v>6</v>
      </c>
      <c r="B10" s="8" t="s">
        <v>37</v>
      </c>
      <c r="C10" s="8" t="s">
        <v>43</v>
      </c>
      <c r="D10" s="9" t="n">
        <f aca="false">TIMEVALUE(C10)-TIMEVALUE(B10)</f>
        <v>9.25925925925926E-005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8" t="s">
        <v>49</v>
      </c>
      <c r="K10" s="11"/>
    </row>
    <row r="11" customFormat="false" ht="51.75" hidden="false" customHeight="true" outlineLevel="0" collapsed="false">
      <c r="A11" s="5" t="n">
        <v>7</v>
      </c>
      <c r="B11" s="5" t="s">
        <v>43</v>
      </c>
      <c r="C11" s="5" t="s">
        <v>50</v>
      </c>
      <c r="D11" s="6" t="n">
        <f aca="false">TIMEVALUE(C11)-TIMEVALUE(B11)</f>
        <v>4.62962962962963E-005</v>
      </c>
      <c r="E11" s="5" t="s">
        <v>51</v>
      </c>
      <c r="F11" s="5" t="s">
        <v>52</v>
      </c>
      <c r="G11" s="5" t="s">
        <v>53</v>
      </c>
      <c r="H11" s="5" t="s">
        <v>18</v>
      </c>
      <c r="I11" s="5" t="s">
        <v>54</v>
      </c>
      <c r="J11" s="5" t="s">
        <v>20</v>
      </c>
      <c r="K11" s="7"/>
    </row>
    <row r="12" customFormat="false" ht="51.75" hidden="false" customHeight="true" outlineLevel="0" collapsed="false">
      <c r="A12" s="8" t="n">
        <v>8</v>
      </c>
      <c r="B12" s="8" t="s">
        <v>50</v>
      </c>
      <c r="C12" s="8" t="s">
        <v>55</v>
      </c>
      <c r="D12" s="9" t="n">
        <f aca="false">TIMEVALUE(C12)-TIMEVALUE(B12)</f>
        <v>4.62962962962963E-005</v>
      </c>
      <c r="E12" s="8" t="s">
        <v>56</v>
      </c>
      <c r="F12" s="8" t="s">
        <v>57</v>
      </c>
      <c r="G12" s="8" t="s">
        <v>58</v>
      </c>
      <c r="H12" s="8" t="s">
        <v>18</v>
      </c>
      <c r="I12" s="8" t="s">
        <v>59</v>
      </c>
      <c r="J12" s="8" t="s">
        <v>20</v>
      </c>
      <c r="K12" s="7"/>
    </row>
    <row r="13" customFormat="false" ht="51.75" hidden="false" customHeight="true" outlineLevel="0" collapsed="false">
      <c r="A13" s="5" t="n">
        <v>9</v>
      </c>
      <c r="B13" s="5" t="s">
        <v>55</v>
      </c>
      <c r="C13" s="5" t="s">
        <v>60</v>
      </c>
      <c r="D13" s="6" t="n">
        <f aca="false">TIMEVALUE(C13)-TIMEVALUE(B13)</f>
        <v>6.94444444444444E-005</v>
      </c>
      <c r="E13" s="5" t="s">
        <v>61</v>
      </c>
      <c r="F13" s="5" t="s">
        <v>62</v>
      </c>
      <c r="G13" s="5" t="s">
        <v>63</v>
      </c>
      <c r="H13" s="5" t="s">
        <v>18</v>
      </c>
      <c r="I13" s="5" t="s">
        <v>64</v>
      </c>
      <c r="J13" s="5" t="s">
        <v>20</v>
      </c>
      <c r="K13" s="7"/>
    </row>
    <row r="14" customFormat="false" ht="51.75" hidden="false" customHeight="true" outlineLevel="0" collapsed="false">
      <c r="A14" s="8" t="n">
        <v>10</v>
      </c>
      <c r="B14" s="8" t="s">
        <v>60</v>
      </c>
      <c r="C14" s="8" t="s">
        <v>65</v>
      </c>
      <c r="D14" s="9" t="n">
        <f aca="false">TIMEVALUE(C14)-TIMEVALUE(B14)</f>
        <v>3.47222222222222E-005</v>
      </c>
      <c r="E14" s="8" t="s">
        <v>66</v>
      </c>
      <c r="F14" s="8" t="s">
        <v>67</v>
      </c>
      <c r="G14" s="8" t="s">
        <v>68</v>
      </c>
      <c r="H14" s="8" t="s">
        <v>69</v>
      </c>
      <c r="I14" s="8" t="s">
        <v>70</v>
      </c>
      <c r="J14" s="8" t="s">
        <v>71</v>
      </c>
      <c r="K14" s="12"/>
    </row>
    <row r="15" customFormat="false" ht="51.75" hidden="false" customHeight="true" outlineLevel="0" collapsed="false">
      <c r="A15" s="5" t="n">
        <v>11</v>
      </c>
      <c r="B15" s="5" t="s">
        <v>65</v>
      </c>
      <c r="C15" s="5" t="s">
        <v>72</v>
      </c>
      <c r="D15" s="6" t="n">
        <f aca="false">TIMEVALUE(C15)-TIMEVALUE(B15)</f>
        <v>9.25925925925926E-005</v>
      </c>
      <c r="E15" s="5" t="s">
        <v>73</v>
      </c>
      <c r="F15" s="5" t="s">
        <v>74</v>
      </c>
      <c r="G15" s="5" t="s">
        <v>75</v>
      </c>
      <c r="H15" s="5" t="s">
        <v>18</v>
      </c>
      <c r="I15" s="5" t="s">
        <v>76</v>
      </c>
      <c r="J15" s="5" t="s">
        <v>20</v>
      </c>
      <c r="K15" s="7"/>
    </row>
    <row r="16" customFormat="false" ht="51.75" hidden="false" customHeight="true" outlineLevel="0" collapsed="false">
      <c r="A16" s="8" t="n">
        <v>12</v>
      </c>
      <c r="B16" s="8" t="s">
        <v>72</v>
      </c>
      <c r="C16" s="8" t="s">
        <v>77</v>
      </c>
      <c r="D16" s="9" t="n">
        <f aca="false">TIMEVALUE(C16)-TIMEVALUE(B16)</f>
        <v>4.62962962962963E-005</v>
      </c>
      <c r="E16" s="8" t="s">
        <v>78</v>
      </c>
      <c r="F16" s="8" t="s">
        <v>79</v>
      </c>
      <c r="G16" s="8" t="s">
        <v>80</v>
      </c>
      <c r="H16" s="8" t="s">
        <v>18</v>
      </c>
      <c r="I16" s="8" t="s">
        <v>81</v>
      </c>
      <c r="J16" s="8" t="s">
        <v>20</v>
      </c>
      <c r="K16" s="7"/>
    </row>
    <row r="17" customFormat="false" ht="51.75" hidden="false" customHeight="true" outlineLevel="0" collapsed="false">
      <c r="A17" s="5" t="n">
        <v>13</v>
      </c>
      <c r="B17" s="5" t="s">
        <v>77</v>
      </c>
      <c r="C17" s="5" t="s">
        <v>82</v>
      </c>
      <c r="D17" s="6" t="n">
        <f aca="false">TIMEVALUE(C17)-TIMEVALUE(B17)</f>
        <v>3.47222222222222E-005</v>
      </c>
      <c r="E17" s="5" t="s">
        <v>83</v>
      </c>
      <c r="F17" s="5" t="s">
        <v>84</v>
      </c>
      <c r="G17" s="5" t="s">
        <v>85</v>
      </c>
      <c r="H17" s="5" t="s">
        <v>18</v>
      </c>
      <c r="I17" s="5" t="s">
        <v>86</v>
      </c>
      <c r="J17" s="5" t="s">
        <v>20</v>
      </c>
      <c r="K17" s="7"/>
    </row>
    <row r="18" customFormat="false" ht="19.5" hidden="false" customHeight="true" outlineLevel="0" collapsed="false">
      <c r="A18" s="13" t="s">
        <v>87</v>
      </c>
      <c r="B18" s="13"/>
      <c r="C18" s="13"/>
      <c r="D18" s="14" t="n">
        <f aca="false">SUM(D5:D17)</f>
        <v>0.00100694444444444</v>
      </c>
    </row>
    <row r="20" customFormat="false" ht="15" hidden="false" customHeight="false" outlineLevel="0" collapsed="false">
      <c r="A20" s="15" t="s">
        <v>88</v>
      </c>
      <c r="B20" s="15"/>
    </row>
    <row r="21" customFormat="false" ht="15" hidden="false" customHeight="false" outlineLevel="0" collapsed="false">
      <c r="A21" s="16" t="s">
        <v>20</v>
      </c>
      <c r="B21" s="17" t="s">
        <v>89</v>
      </c>
      <c r="C21" s="17"/>
      <c r="D21" s="17"/>
      <c r="E21" s="17"/>
    </row>
    <row r="22" customFormat="false" ht="15" hidden="false" customHeight="false" outlineLevel="0" collapsed="false">
      <c r="A22" s="18" t="s">
        <v>71</v>
      </c>
      <c r="B22" s="17" t="s">
        <v>90</v>
      </c>
      <c r="C22" s="17"/>
      <c r="D22" s="17"/>
      <c r="E22" s="17"/>
    </row>
    <row r="23" customFormat="false" ht="15" hidden="false" customHeight="false" outlineLevel="0" collapsed="false">
      <c r="A23" s="19" t="s">
        <v>49</v>
      </c>
      <c r="B23" s="17" t="s">
        <v>91</v>
      </c>
      <c r="C23" s="17"/>
      <c r="D23" s="17"/>
      <c r="E23" s="17"/>
    </row>
    <row r="24" customFormat="false" ht="15" hidden="false" customHeight="false" outlineLevel="0" collapsed="false">
      <c r="A24" s="19" t="s">
        <v>92</v>
      </c>
      <c r="B24" s="17" t="s">
        <v>93</v>
      </c>
      <c r="C24" s="17"/>
      <c r="D24" s="17"/>
      <c r="E24" s="17"/>
    </row>
    <row r="25" customFormat="false" ht="15" hidden="false" customHeight="false" outlineLevel="0" collapsed="false">
      <c r="A25" s="20" t="s">
        <v>42</v>
      </c>
      <c r="B25" s="17" t="s">
        <v>94</v>
      </c>
      <c r="C25" s="17"/>
      <c r="D25" s="17"/>
      <c r="E25" s="17"/>
    </row>
  </sheetData>
  <mergeCells count="10">
    <mergeCell ref="A1:K1"/>
    <mergeCell ref="A2:K2"/>
    <mergeCell ref="A3:K3"/>
    <mergeCell ref="A18:C18"/>
    <mergeCell ref="A20:B20"/>
    <mergeCell ref="B21:E21"/>
    <mergeCell ref="B22:E22"/>
    <mergeCell ref="B23:E23"/>
    <mergeCell ref="B24:E24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2026-03-22T03:50:17Z</dcterms:created>
  <dc:creator>openpyxl</dc:creator>
  <dc:description/>
  <dc:language>en-US</dc:language>
  <cp:lastModifiedBy/>
  <dcterms:modified xsi:type="dcterms:W3CDTF">2026-03-22T03:50:17Z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